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76c362203548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17d99558f6a4474"/>
    <x:sheet xmlns:r="http://schemas.openxmlformats.org/officeDocument/2006/relationships" name="Equipment List" sheetId="2" r:id="Re1cc4afaaeab4215"/>
    <x:sheet xmlns:r="http://schemas.openxmlformats.org/officeDocument/2006/relationships" name="BOM" sheetId="3" r:id="Rf5ed407595df4e40"/>
    <x:sheet xmlns:r="http://schemas.openxmlformats.org/officeDocument/2006/relationships" name="Connections" sheetId="4" r:id="R597fce5b20c649c6"/>
    <x:sheet xmlns:r="http://schemas.openxmlformats.org/officeDocument/2006/relationships" name="P2P" sheetId="5" r:id="Rcaf42ff1460c44ab"/>
    <x:sheet xmlns:r="http://schemas.openxmlformats.org/officeDocument/2006/relationships" name="QA" sheetId="6" r:id="R643b8b784d134c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859B"/>
      </x:patternFill>
    </x:fill>
    <x:fill>
      <x:patternFill patternType="solid">
        <x:fgColor rgb="FF5F497A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3f3fe8db014a1f" /><Relationship Type="http://schemas.openxmlformats.org/officeDocument/2006/relationships/theme" Target="/xl/theme/theme1.xml" Id="R5e43a02c94df4fc2" /><Relationship Type="http://schemas.microsoft.com/office/2022/11/relationships/FeaturePropertyBag" Target="/xl/featurePropertyBag/featurePropertyBag.xml" Id="Rf1d7134e03634dbb" /><Relationship Type="http://schemas.openxmlformats.org/officeDocument/2006/relationships/sharedStrings" Target="/xl/sharedStrings.xml" Id="R2c98c93733ad4e8d" /><Relationship Type="http://schemas.openxmlformats.org/officeDocument/2006/relationships/worksheet" Target="/xl/worksheets/sheet1.xml" Id="R117d99558f6a4474" /><Relationship Type="http://schemas.openxmlformats.org/officeDocument/2006/relationships/worksheet" Target="/xl/worksheets/sheet2.xml" Id="Re1cc4afaaeab4215" /><Relationship Type="http://schemas.openxmlformats.org/officeDocument/2006/relationships/worksheet" Target="/xl/worksheets/sheet3.xml" Id="Rf5ed407595df4e40" /><Relationship Type="http://schemas.openxmlformats.org/officeDocument/2006/relationships/worksheet" Target="/xl/worksheets/sheet4.xml" Id="R597fce5b20c649c6" /><Relationship Type="http://schemas.openxmlformats.org/officeDocument/2006/relationships/worksheet" Target="/xl/worksheets/sheet5.xml" Id="Rcaf42ff1460c44ab" /><Relationship Type="http://schemas.openxmlformats.org/officeDocument/2006/relationships/worksheet" Target="/xl/worksheets/sheet6.xml" Id="R643b8b784d134c2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44" hidden="0" customWidth="1"/>
    <x:col min="4" max="4" width="34" hidden="0" customWidth="1"/>
  </x:cols>
  <x:sheetData>
    <x:row r="1" ht="30" customHeight="1">
      <x:c r="A1" s="4" t="str">
        <x:v>LAB1 Mini P2P Demonstration - Instructions</x:v>
      </x:c>
      <x:c r="B1" s="4"/>
      <x:c r="C1" s="4"/>
      <x:c r="D1" s="4"/>
    </x:row>
    <x:row r="3">
      <x:c r="A3" s="10" t="str">
        <x:v>Topic</x:v>
      </x:c>
      <x:c r="B3" s="10" t="str">
        <x:v>Value</x:v>
      </x:c>
      <x:c r="C3" s="10" t="str">
        <x:v>Source / Rule</x:v>
      </x:c>
      <x:c r="D3" s="10" t="str">
        <x:v>Action</x:v>
      </x:c>
    </x:row>
    <x:row r="4">
      <x:c r="A4" s="13" t="str">
        <x:v>Length mode</x:v>
      </x:c>
      <x:c r="B4" s="13" t="str">
        <x:v>bom-first</x:v>
      </x:c>
      <x:c r="C4" s="13" t="str">
        <x:v>project.lengthMode</x:v>
      </x:c>
      <x:c r="D4" s="13" t="str">
        <x:v>Do not change without approval</x:v>
      </x:c>
    </x:row>
    <x:row r="5">
      <x:c r="A5" s="13" t="str">
        <x:v>Equipment authority</x:v>
      </x:c>
      <x:c r="B5" s="13" t="str">
        <x:v>Equipment List</x:v>
      </x:c>
      <x:c r="C5" s="13" t="str">
        <x:v>Device name, room, rack, RU, role, model</x:v>
      </x:c>
      <x:c r="D5" s="13" t="str">
        <x:v>Resolve every endpoint</x:v>
      </x:c>
    </x:row>
    <x:row r="6">
      <x:c r="A6" s="13" t="str">
        <x:v>P2P granularity</x:v>
      </x:c>
      <x:c r="B6" s="13" t="str">
        <x:v>One physical cable or breakout branch per row</x:v>
      </x:c>
      <x:c r="C6" s="13" t="str">
        <x:v>Engineering rule</x:v>
      </x:c>
      <x:c r="D6" s="13" t="str">
        <x:v>One device and one port per cell</x:v>
      </x:c>
    </x:row>
    <x:row r="7">
      <x:c r="A7" s="13" t="str">
        <x:v>BOM behavior</x:v>
      </x:c>
      <x:c r="B7" s="13" t="str">
        <x:v>BOM quantities are immutable inputs</x:v>
      </x:c>
      <x:c r="C7" s="13" t="str">
        <x:v>Customer BOM</x:v>
      </x:c>
      <x:c r="D7" s="13" t="str">
        <x:v>Report deltas; never hide them</x:v>
      </x:c>
    </x:row>
    <x:row r="8">
      <x:c r="A8" s="13" t="str">
        <x:v>Copper modules</x:v>
      </x:c>
      <x:c r="B8" s="13" t="str">
        <x:v>Blank</x:v>
      </x:c>
      <x:c r="C8" s="13" t="str">
        <x:v>UTP/CAT6/CAT6A/RJ45 are passive</x:v>
      </x:c>
      <x:c r="D8" s="13" t="str">
        <x:v>Do not add transceivers</x:v>
      </x:c>
    </x:row>
    <x:row r="9">
      <x:c r="A9" s="13" t="str">
        <x:v>Visual QA</x:v>
      </x:c>
      <x:c r="B9" s="13" t="str">
        <x:v>Required</x:v>
      </x:c>
      <x:c r="C9" s="13" t="str">
        <x:v>Render every sheet</x:v>
      </x:c>
      <x:c r="D9" s="13" t="str">
        <x:v>Check clipping, merges, widths, formulas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4" hidden="0" customWidth="1"/>
    <x:col min="4" max="4" width="12" hidden="0" customWidth="1"/>
    <x:col min="5" max="5" width="10" hidden="0" customWidth="1"/>
    <x:col min="6" max="6" width="20" hidden="0" customWidth="1"/>
    <x:col min="7" max="7" width="24" hidden="0" customWidth="1"/>
    <x:col min="8" max="8" width="10" hidden="0" customWidth="1"/>
    <x:col min="9" max="9" width="10" hidden="0" customWidth="1"/>
  </x:cols>
  <x:sheetData>
    <x:row r="1" ht="30" customHeight="1">
      <x:c r="A1" s="4" t="str">
        <x:v>LAB1 Mini P2P Demonstration - Equipment List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0" t="str">
        <x:v>ID</x:v>
      </x:c>
      <x:c r="B3" s="10" t="str">
        <x:v>Device Name</x:v>
      </x:c>
      <x:c r="C3" s="10" t="str">
        <x:v>Room</x:v>
      </x:c>
      <x:c r="D3" s="10" t="str">
        <x:v>Rack</x:v>
      </x:c>
      <x:c r="E3" s="10" t="str">
        <x:v>RU</x:v>
      </x:c>
      <x:c r="F3" s="10" t="str">
        <x:v>Role</x:v>
      </x:c>
      <x:c r="G3" s="10" t="str">
        <x:v>Model</x:v>
      </x:c>
      <x:c r="H3" s="10" t="str">
        <x:v>X (m)</x:v>
      </x:c>
      <x:c r="I3" s="10" t="str">
        <x:v>Y (m)</x:v>
      </x:c>
    </x:row>
    <x:row r="4">
      <x:c r="A4" s="13" t="str">
        <x:v>sw-data-01</x:v>
      </x:c>
      <x:c r="B4" s="13" t="str">
        <x:v>LAB1-R01-DATA-SW-01</x:v>
      </x:c>
      <x:c r="C4" s="13" t="str">
        <x:v>LAB1</x:v>
      </x:c>
      <x:c r="D4" s="13" t="str">
        <x:v>R01</x:v>
      </x:c>
      <x:c r="E4" s="13" t="str">
        <x:v>U40</x:v>
      </x:c>
      <x:c r="F4" s="13" t="str">
        <x:v>DATA-SPINE</x:v>
      </x:c>
      <x:c r="G4" s="13" t="str">
        <x:v>DEMO-800G-SW</x:v>
      </x:c>
      <x:c r="H4" s="14" t="n">
        <x:v>0</x:v>
      </x:c>
      <x:c r="I4" s="14" t="n">
        <x:v>0</x:v>
      </x:c>
    </x:row>
    <x:row r="5">
      <x:c r="A5" s="13" t="str">
        <x:v>server-01</x:v>
      </x:c>
      <x:c r="B5" s="13" t="str">
        <x:v>LAB1-R02-SERVER-01</x:v>
      </x:c>
      <x:c r="C5" s="13" t="str">
        <x:v>LAB1</x:v>
      </x:c>
      <x:c r="D5" s="13" t="str">
        <x:v>R02</x:v>
      </x:c>
      <x:c r="E5" s="13" t="str">
        <x:v>U10</x:v>
      </x:c>
      <x:c r="F5" s="13" t="str">
        <x:v>SERVER</x:v>
      </x:c>
      <x:c r="G5" s="13" t="str">
        <x:v>DEMO-SERVER</x:v>
      </x:c>
      <x:c r="H5" s="14" t="n">
        <x:v>3</x:v>
      </x:c>
      <x:c r="I5" s="14" t="n">
        <x:v>0</x:v>
      </x:c>
    </x:row>
    <x:row r="6">
      <x:c r="A6" s="13" t="str">
        <x:v>server-02</x:v>
      </x:c>
      <x:c r="B6" s="13" t="str">
        <x:v>LAB1-R04-SERVER-02</x:v>
      </x:c>
      <x:c r="C6" s="13" t="str">
        <x:v>LAB1</x:v>
      </x:c>
      <x:c r="D6" s="13" t="str">
        <x:v>R04</x:v>
      </x:c>
      <x:c r="E6" s="13" t="str">
        <x:v>U10</x:v>
      </x:c>
      <x:c r="F6" s="13" t="str">
        <x:v>SERVER</x:v>
      </x:c>
      <x:c r="G6" s="13" t="str">
        <x:v>DEMO-SERVER</x:v>
      </x:c>
      <x:c r="H6" s="14" t="n">
        <x:v>8</x:v>
      </x:c>
      <x:c r="I6" s="14" t="n">
        <x:v>0</x:v>
      </x:c>
    </x:row>
    <x:row r="7">
      <x:c r="A7" s="13" t="str">
        <x:v>sw-storage-01</x:v>
      </x:c>
      <x:c r="B7" s="13" t="str">
        <x:v>LAB1-R06-STORAGE-SW-01</x:v>
      </x:c>
      <x:c r="C7" s="13" t="str">
        <x:v>LAB1</x:v>
      </x:c>
      <x:c r="D7" s="13" t="str">
        <x:v>R06</x:v>
      </x:c>
      <x:c r="E7" s="13" t="str">
        <x:v>U32</x:v>
      </x:c>
      <x:c r="F7" s="13" t="str">
        <x:v>STORAGE-LEAF</x:v>
      </x:c>
      <x:c r="G7" s="13" t="str">
        <x:v>DEMO-2X400G-SW</x:v>
      </x:c>
      <x:c r="H7" s="14" t="n">
        <x:v>12</x:v>
      </x:c>
      <x:c r="I7" s="14" t="n">
        <x:v>2</x:v>
      </x:c>
    </x:row>
    <x:row r="8">
      <x:c r="A8" s="13" t="str">
        <x:v>storage-01</x:v>
      </x:c>
      <x:c r="B8" s="13" t="str">
        <x:v>LAB1-R07-STORAGE-01</x:v>
      </x:c>
      <x:c r="C8" s="13" t="str">
        <x:v>LAB1</x:v>
      </x:c>
      <x:c r="D8" s="13" t="str">
        <x:v>R07</x:v>
      </x:c>
      <x:c r="E8" s="13" t="str">
        <x:v>U8</x:v>
      </x:c>
      <x:c r="F8" s="13" t="str">
        <x:v>STORAGE</x:v>
      </x:c>
      <x:c r="G8" s="13" t="str">
        <x:v>DEMO-STORAGE</x:v>
      </x:c>
      <x:c r="H8" s="14" t="n">
        <x:v>15</x:v>
      </x:c>
      <x:c r="I8" s="14" t="n">
        <x:v>2</x:v>
      </x:c>
    </x:row>
    <x:row r="9">
      <x:c r="A9" s="13" t="str">
        <x:v>oob-01</x:v>
      </x:c>
      <x:c r="B9" s="13" t="str">
        <x:v>LAB1-R01-OOB-SW-01</x:v>
      </x:c>
      <x:c r="C9" s="13" t="str">
        <x:v>LAB1</x:v>
      </x:c>
      <x:c r="D9" s="13" t="str">
        <x:v>R01</x:v>
      </x:c>
      <x:c r="E9" s="13" t="str">
        <x:v>U45</x:v>
      </x:c>
      <x:c r="F9" s="13" t="str">
        <x:v>OOB-LEAF</x:v>
      </x:c>
      <x:c r="G9" s="13" t="str">
        <x:v>DEMO-OOB-SW</x:v>
      </x:c>
      <x:c r="H9" s="14" t="n">
        <x:v>0</x:v>
      </x:c>
      <x:c r="I9" s="14" t="n">
        <x:v>0</x:v>
      </x:c>
    </x:row>
    <x:row r="10">
      <x:c r="A10" s="13" t="str">
        <x:v>bmc-01</x:v>
      </x:c>
      <x:c r="B10" s="13" t="str">
        <x:v>LAB1-R02-BMC-01</x:v>
      </x:c>
      <x:c r="C10" s="13" t="str">
        <x:v>LAB1</x:v>
      </x:c>
      <x:c r="D10" s="13" t="str">
        <x:v>R02</x:v>
      </x:c>
      <x:c r="E10" s="13" t="str">
        <x:v>U10</x:v>
      </x:c>
      <x:c r="F10" s="13" t="str">
        <x:v>BMC</x:v>
      </x:c>
      <x:c r="G10" s="13" t="str">
        <x:v>INTEGRATED</x:v>
      </x:c>
      <x:c r="H10" s="14" t="n">
        <x:v>3</x:v>
      </x:c>
      <x:c r="I10" s="14" t="n">
        <x:v>0</x:v>
      </x:c>
    </x:row>
    <x:row r="11">
      <x:c r="A11" s="13" t="str">
        <x:v>bmc-02</x:v>
      </x:c>
      <x:c r="B11" s="13" t="str">
        <x:v>LAB1-R04-BMC-02</x:v>
      </x:c>
      <x:c r="C11" s="13" t="str">
        <x:v>LAB1</x:v>
      </x:c>
      <x:c r="D11" s="13" t="str">
        <x:v>R04</x:v>
      </x:c>
      <x:c r="E11" s="13" t="str">
        <x:v>U10</x:v>
      </x:c>
      <x:c r="F11" s="13" t="str">
        <x:v>BMC</x:v>
      </x:c>
      <x:c r="G11" s="13" t="str">
        <x:v>INTEGRATED</x:v>
      </x:c>
      <x:c r="H11" s="14" t="n">
        <x:v>8</x:v>
      </x:c>
      <x:c r="I11" s="14" t="n">
        <x:v>0</x:v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4" hidden="0" customWidth="1"/>
    <x:col min="4" max="4" width="24" hidden="0" customWidth="1"/>
    <x:col min="5" max="5" width="12" hidden="0" customWidth="1"/>
    <x:col min="6" max="6" width="12" hidden="0" customWidth="1"/>
    <x:col min="7" max="7" width="12" hidden="0" customWidth="1"/>
    <x:col min="8" max="8" width="10" hidden="0" customWidth="1"/>
    <x:col min="9" max="9" width="24" hidden="0" customWidth="1"/>
  </x:cols>
  <x:sheetData>
    <x:row r="1" ht="30" customHeight="1">
      <x:c r="A1" s="4" t="str">
        <x:v>LAB1 Mini P2P Demonstration - Cable BOM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0" t="str">
        <x:v>Allocation Group</x:v>
      </x:c>
      <x:c r="B3" s="10" t="str">
        <x:v>Network</x:v>
      </x:c>
      <x:c r="C3" s="10" t="str">
        <x:v>Cable Class</x:v>
      </x:c>
      <x:c r="D3" s="10" t="str">
        <x:v>Cable Model</x:v>
      </x:c>
      <x:c r="E3" s="10" t="str">
        <x:v>Length (m)</x:v>
      </x:c>
      <x:c r="F3" s="10" t="str">
        <x:v>Planned Qty</x:v>
      </x:c>
      <x:c r="G3" s="10" t="str">
        <x:v>Actual Qty</x:v>
      </x:c>
      <x:c r="H3" s="10" t="str">
        <x:v>Delta</x:v>
      </x:c>
      <x:c r="I3" s="10" t="str">
        <x:v>Transceiver Rule</x:v>
      </x:c>
    </x:row>
    <x:row r="4">
      <x:c r="A4" s="13" t="str">
        <x:v>DATA_SERVER</x:v>
      </x:c>
      <x:c r="B4" s="13" t="str">
        <x:v>Data Network</x:v>
      </x:c>
      <x:c r="C4" s="13" t="str">
        <x:v>optical</x:v>
      </x:c>
      <x:c r="D4" s="13" t="str">
        <x:v>OPT-N015</x:v>
      </x:c>
      <x:c r="E4" s="15" t="n">
        <x:v>15</x:v>
      </x:c>
      <x:c r="F4" s="15" t="n">
        <x:v>1</x:v>
      </x:c>
      <x:c r="G4" s="15" t="n">
        <x:f>COUNTIFS(P2P!$S$4:$S$503,A4,P2P!$N$4:$N$503,D4,P2P!$O$4:$O$503,E4)</x:f>
        <x:v>1</x:v>
      </x:c>
      <x:c r="H4" s="15" t="n">
        <x:f>G4-F4</x:f>
        <x:v>0</x:v>
      </x:c>
      <x:c r="I4" s="13" t="str">
        <x:v>both</x:v>
      </x:c>
    </x:row>
    <x:row r="5">
      <x:c r="A5" s="13" t="str">
        <x:v>DATA_SERVER</x:v>
      </x:c>
      <x:c r="B5" s="13" t="str">
        <x:v>Data Network</x:v>
      </x:c>
      <x:c r="C5" s="13" t="str">
        <x:v>optical</x:v>
      </x:c>
      <x:c r="D5" s="13" t="str">
        <x:v>OPT-N020</x:v>
      </x:c>
      <x:c r="E5" s="15" t="n">
        <x:v>20</x:v>
      </x:c>
      <x:c r="F5" s="15" t="n">
        <x:v>1</x:v>
      </x:c>
      <x:c r="G5" s="15" t="n">
        <x:f>COUNTIFS(P2P!$S$4:$S$503,A5,P2P!$N$4:$N$503,D5,P2P!$O$4:$O$503,E5)</x:f>
        <x:v>1</x:v>
      </x:c>
      <x:c r="H5" s="15" t="n">
        <x:f>G5-F5</x:f>
        <x:v>0</x:v>
      </x:c>
      <x:c r="I5" s="13" t="str">
        <x:v>both</x:v>
      </x:c>
    </x:row>
    <x:row r="6">
      <x:c r="A6" s="13" t="str">
        <x:v>STORAGE_BREAKOUT</x:v>
      </x:c>
      <x:c r="B6" s="13" t="str">
        <x:v>Storage Network</x:v>
      </x:c>
      <x:c r="C6" s="13" t="str">
        <x:v>optical</x:v>
      </x:c>
      <x:c r="D6" s="13" t="str">
        <x:v>BRK-N025</x:v>
      </x:c>
      <x:c r="E6" s="15" t="n">
        <x:v>25</x:v>
      </x:c>
      <x:c r="F6" s="15" t="n">
        <x:v>2</x:v>
      </x:c>
      <x:c r="G6" s="15" t="n">
        <x:f>COUNTIFS(P2P!$S$4:$S$503,A6,P2P!$N$4:$N$503,D6,P2P!$O$4:$O$503,E6)</x:f>
        <x:v>2</x:v>
      </x:c>
      <x:c r="H6" s="15" t="n">
        <x:f>G6-F6</x:f>
        <x:v>0</x:v>
      </x:c>
      <x:c r="I6" s="13" t="str">
        <x:v>a-once-per-group</x:v>
      </x:c>
    </x:row>
    <x:row r="7">
      <x:c r="A7" s="13" t="str">
        <x:v>OOB_ACCESS</x:v>
      </x:c>
      <x:c r="B7" s="13" t="str">
        <x:v>Out-of-Band Network</x:v>
      </x:c>
      <x:c r="C7" s="13" t="str">
        <x:v>copper</x:v>
      </x:c>
      <x:c r="D7" s="13" t="str">
        <x:v>CAT6A-010</x:v>
      </x:c>
      <x:c r="E7" s="15" t="n">
        <x:v>10</x:v>
      </x:c>
      <x:c r="F7" s="15" t="n">
        <x:v>2</x:v>
      </x:c>
      <x:c r="G7" s="15" t="n">
        <x:f>COUNTIFS(P2P!$S$4:$S$503,A7,P2P!$N$4:$N$503,D7,P2P!$O$4:$O$503,E7)</x:f>
        <x:v>2</x:v>
      </x:c>
      <x:c r="H7" s="15" t="n">
        <x:f>G7-F7</x:f>
        <x:v>0</x:v>
      </x:c>
      <x:c r="I7" s="13" t="str">
        <x:v>none</x:v>
      </x:c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0" hidden="0" customWidth="1"/>
    <x:col min="4" max="4" width="18" hidden="0" customWidth="1"/>
    <x:col min="5" max="5" width="22" hidden="0" customWidth="1"/>
    <x:col min="6" max="6" width="20" hidden="0" customWidth="1"/>
    <x:col min="7" max="7" width="20" hidden="0" customWidth="1"/>
    <x:col min="8" max="8" width="20" hidden="0" customWidth="1"/>
    <x:col min="9" max="9" width="22" hidden="0" customWidth="1"/>
    <x:col min="10" max="10" width="20" hidden="0" customWidth="1"/>
    <x:col min="11" max="11" width="12" hidden="0" customWidth="1"/>
    <x:col min="12" max="12" width="12" hidden="0" customWidth="1"/>
    <x:col min="13" max="13" width="16" hidden="0" customWidth="1"/>
    <x:col min="14" max="14" width="10" hidden="0" customWidth="1"/>
    <x:col min="15" max="15" width="10" hidden="0" customWidth="1"/>
    <x:col min="16" max="16" width="30" hidden="0" customWidth="1"/>
  </x:cols>
  <x:sheetData>
    <x:row r="1" ht="30" customHeight="1">
      <x:c r="A1" s="4" t="str">
        <x:v>LAB1 Mini P2P Demonstration - Connection Inputs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>
      <x:c r="A3" s="10" t="str">
        <x:v>ID</x:v>
      </x:c>
      <x:c r="B3" s="10" t="str">
        <x:v>Allocation Group</x:v>
      </x:c>
      <x:c r="C3" s="10" t="str">
        <x:v>A Equipment ID</x:v>
      </x:c>
      <x:c r="D3" s="10" t="str">
        <x:v>A Port</x:v>
      </x:c>
      <x:c r="E3" s="10" t="str">
        <x:v>A Transceiver</x:v>
      </x:c>
      <x:c r="F3" s="10" t="str">
        <x:v>A Module Group</x:v>
      </x:c>
      <x:c r="G3" s="10" t="str">
        <x:v>Z Equipment ID</x:v>
      </x:c>
      <x:c r="H3" s="10" t="str">
        <x:v>Z Port</x:v>
      </x:c>
      <x:c r="I3" s="10" t="str">
        <x:v>Z Transceiver</x:v>
      </x:c>
      <x:c r="J3" s="10" t="str">
        <x:v>Z Module Group</x:v>
      </x:c>
      <x:c r="K3" s="10" t="str">
        <x:v>Route Score</x:v>
      </x:c>
      <x:c r="L3" s="10" t="str">
        <x:v>Route (m)</x:v>
      </x:c>
      <x:c r="M3" s="10" t="str">
        <x:v>Locked Length (m)</x:v>
      </x:c>
      <x:c r="N3" s="10" t="str">
        <x:v>Shared A</x:v>
      </x:c>
      <x:c r="O3" s="10" t="str">
        <x:v>Shared Z</x:v>
      </x:c>
      <x:c r="P3" s="10" t="str">
        <x:v>Remark</x:v>
      </x:c>
    </x:row>
    <x:row r="4">
      <x:c r="A4" s="13" t="str">
        <x:v>D-001</x:v>
      </x:c>
      <x:c r="B4" s="13" t="str">
        <x:v>DATA_SERVER</x:v>
      </x:c>
      <x:c r="C4" s="13" t="str">
        <x:v>sw-data-01</x:v>
      </x:c>
      <x:c r="D4" s="13" t="str">
        <x:v>1/1</x:v>
      </x:c>
      <x:c r="E4" s="13" t="str">
        <x:v>DEMO-OSFP</x:v>
      </x:c>
      <x:c r="F4" s="13" t="str"/>
      <x:c r="G4" s="13" t="str">
        <x:v>server-01</x:v>
      </x:c>
      <x:c r="H4" s="13" t="str">
        <x:v>NIC1</x:v>
      </x:c>
      <x:c r="I4" s="13" t="str">
        <x:v>DEMO-OSFP</x:v>
      </x:c>
      <x:c r="J4" s="13" t="str"/>
      <x:c r="K4" s="13" t="n">
        <x:v>3</x:v>
      </x:c>
      <x:c r="L4" s="13" t="str"/>
      <x:c r="M4" s="13" t="str"/>
      <x:c r="N4" s="19" t="b">
        <x:v>0</x:v>
      </x:c>
      <x:c r="O4" s="19" t="b">
        <x:v>0</x:v>
      </x:c>
      <x:c r="P4" s="13" t="str">
        <x:v>Direct optical link</x:v>
      </x:c>
    </x:row>
    <x:row r="5">
      <x:c r="A5" s="13" t="str">
        <x:v>D-002</x:v>
      </x:c>
      <x:c r="B5" s="13" t="str">
        <x:v>DATA_SERVER</x:v>
      </x:c>
      <x:c r="C5" s="13" t="str">
        <x:v>sw-data-01</x:v>
      </x:c>
      <x:c r="D5" s="13" t="str">
        <x:v>1/2</x:v>
      </x:c>
      <x:c r="E5" s="13" t="str">
        <x:v>DEMO-OSFP</x:v>
      </x:c>
      <x:c r="F5" s="13" t="str"/>
      <x:c r="G5" s="13" t="str">
        <x:v>server-02</x:v>
      </x:c>
      <x:c r="H5" s="13" t="str">
        <x:v>NIC1</x:v>
      </x:c>
      <x:c r="I5" s="13" t="str">
        <x:v>DEMO-OSFP</x:v>
      </x:c>
      <x:c r="J5" s="13" t="str"/>
      <x:c r="K5" s="13" t="n">
        <x:v>8</x:v>
      </x:c>
      <x:c r="L5" s="13" t="str"/>
      <x:c r="M5" s="13" t="str"/>
      <x:c r="N5" s="19" t="b">
        <x:v>0</x:v>
      </x:c>
      <x:c r="O5" s="19" t="b">
        <x:v>0</x:v>
      </x:c>
      <x:c r="P5" s="13" t="str">
        <x:v>Direct optical link</x:v>
      </x:c>
    </x:row>
    <x:row r="6">
      <x:c r="A6" s="13" t="str">
        <x:v>S-001</x:v>
      </x:c>
      <x:c r="B6" s="13" t="str">
        <x:v>STORAGE_BREAKOUT</x:v>
      </x:c>
      <x:c r="C6" s="13" t="str">
        <x:v>sw-storage-01</x:v>
      </x:c>
      <x:c r="D6" s="13" t="str">
        <x:v>33/1/1</x:v>
      </x:c>
      <x:c r="E6" s="13" t="str">
        <x:v>DEMO-2X400G</x:v>
      </x:c>
      <x:c r="F6" s="13" t="str">
        <x:v>STG-A-33-1</x:v>
      </x:c>
      <x:c r="G6" s="13" t="str">
        <x:v>storage-01</x:v>
      </x:c>
      <x:c r="H6" s="13" t="str">
        <x:v>CTRL-A-LINK-1</x:v>
      </x:c>
      <x:c r="I6" s="13" t="str">
        <x:v>DEMO-400G</x:v>
      </x:c>
      <x:c r="J6" s="13" t="str"/>
      <x:c r="K6" s="13" t="n">
        <x:v>3</x:v>
      </x:c>
      <x:c r="L6" s="13" t="str"/>
      <x:c r="M6" s="13" t="str"/>
      <x:c r="N6" s="19" t="b">
        <x:v>0</x:v>
      </x:c>
      <x:c r="O6" s="19" t="b">
        <x:v>0</x:v>
      </x:c>
      <x:c r="P6" s="13" t="str">
        <x:v>Breakout branch 1</x:v>
      </x:c>
    </x:row>
    <x:row r="7">
      <x:c r="A7" s="13" t="str">
        <x:v>S-002</x:v>
      </x:c>
      <x:c r="B7" s="13" t="str">
        <x:v>STORAGE_BREAKOUT</x:v>
      </x:c>
      <x:c r="C7" s="13" t="str">
        <x:v>sw-storage-01</x:v>
      </x:c>
      <x:c r="D7" s="13" t="str">
        <x:v>33/1/2</x:v>
      </x:c>
      <x:c r="E7" s="13" t="str"/>
      <x:c r="F7" s="13" t="str">
        <x:v>STG-A-33-1</x:v>
      </x:c>
      <x:c r="G7" s="13" t="str">
        <x:v>storage-01</x:v>
      </x:c>
      <x:c r="H7" s="13" t="str">
        <x:v>CTRL-B-LINK-1</x:v>
      </x:c>
      <x:c r="I7" s="13" t="str">
        <x:v>DEMO-400G</x:v>
      </x:c>
      <x:c r="J7" s="13" t="str"/>
      <x:c r="K7" s="13" t="n">
        <x:v>4</x:v>
      </x:c>
      <x:c r="L7" s="13" t="str"/>
      <x:c r="M7" s="13" t="str"/>
      <x:c r="N7" s="19" t="b">
        <x:v>0</x:v>
      </x:c>
      <x:c r="O7" s="19" t="b">
        <x:v>0</x:v>
      </x:c>
      <x:c r="P7" s="13" t="str">
        <x:v>Breakout branch 2; A module recorded on branch 1</x:v>
      </x:c>
    </x:row>
    <x:row r="8">
      <x:c r="A8" s="13" t="str">
        <x:v>O-001</x:v>
      </x:c>
      <x:c r="B8" s="13" t="str">
        <x:v>OOB_ACCESS</x:v>
      </x:c>
      <x:c r="C8" s="13" t="str">
        <x:v>oob-01</x:v>
      </x:c>
      <x:c r="D8" s="13" t="str">
        <x:v>1</x:v>
      </x:c>
      <x:c r="E8" s="13" t="str"/>
      <x:c r="F8" s="13" t="str"/>
      <x:c r="G8" s="13" t="str">
        <x:v>bmc-01</x:v>
      </x:c>
      <x:c r="H8" s="13" t="str">
        <x:v>MGMT</x:v>
      </x:c>
      <x:c r="I8" s="13" t="str"/>
      <x:c r="J8" s="13" t="str"/>
      <x:c r="K8" s="13" t="n">
        <x:v>3</x:v>
      </x:c>
      <x:c r="L8" s="13" t="str"/>
      <x:c r="M8" s="13" t="str"/>
      <x:c r="N8" s="19" t="b">
        <x:v>0</x:v>
      </x:c>
      <x:c r="O8" s="19" t="b">
        <x:v>0</x:v>
      </x:c>
      <x:c r="P8" s="13" t="str">
        <x:v>CAT6A management</x:v>
      </x:c>
    </x:row>
    <x:row r="9">
      <x:c r="A9" s="13" t="str">
        <x:v>O-002</x:v>
      </x:c>
      <x:c r="B9" s="13" t="str">
        <x:v>OOB_ACCESS</x:v>
      </x:c>
      <x:c r="C9" s="13" t="str">
        <x:v>oob-01</x:v>
      </x:c>
      <x:c r="D9" s="13" t="str">
        <x:v>2</x:v>
      </x:c>
      <x:c r="E9" s="13" t="str"/>
      <x:c r="F9" s="13" t="str"/>
      <x:c r="G9" s="13" t="str">
        <x:v>bmc-02</x:v>
      </x:c>
      <x:c r="H9" s="13" t="str">
        <x:v>MGMT</x:v>
      </x:c>
      <x:c r="I9" s="13" t="str"/>
      <x:c r="J9" s="13" t="str"/>
      <x:c r="K9" s="13" t="n">
        <x:v>8</x:v>
      </x:c>
      <x:c r="L9" s="13" t="str"/>
      <x:c r="M9" s="13" t="str"/>
      <x:c r="N9" s="19" t="b">
        <x:v>0</x:v>
      </x:c>
      <x:c r="O9" s="19" t="b">
        <x:v>0</x:v>
      </x:c>
      <x:c r="P9" s="13" t="str">
        <x:v>CAT6A management</x:v>
      </x:c>
    </x:row>
  </x:sheetData>
  <x:mergeCells>
    <x:mergeCell ref="A1:P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1" hidden="0" customWidth="1"/>
    <x:col min="3" max="3" width="12" hidden="0" customWidth="1"/>
    <x:col min="4" max="4" width="10" hidden="0" customWidth="1"/>
    <x:col min="5" max="5" width="9" hidden="0" customWidth="1"/>
    <x:col min="6" max="6" width="18" hidden="0" customWidth="1"/>
    <x:col min="7" max="7" width="22" hidden="0" customWidth="1"/>
    <x:col min="8" max="8" width="31" hidden="0" customWidth="1"/>
    <x:col min="9" max="9" width="12" hidden="0" customWidth="1"/>
    <x:col min="10" max="10" width="10" hidden="0" customWidth="1"/>
    <x:col min="11" max="11" width="9" hidden="0" customWidth="1"/>
    <x:col min="12" max="12" width="22" hidden="0" customWidth="1"/>
    <x:col min="13" max="13" width="22" hidden="0" customWidth="1"/>
    <x:col min="14" max="14" width="22" hidden="0" customWidth="1"/>
    <x:col min="15" max="15" width="11" hidden="0" customWidth="1"/>
    <x:col min="16" max="16" width="28" hidden="0" customWidth="1"/>
    <x:col min="17" max="17" width="42" hidden="0" customWidth="1"/>
    <x:col min="18" max="18" width="42" hidden="0" customWidth="1"/>
    <x:col min="19" max="19" width="24" hidden="0" customWidth="1"/>
    <x:col min="20" max="20" width="24" hidden="0" customWidth="1"/>
    <x:col min="21" max="21" width="20" hidden="0" customWidth="1"/>
    <x:col min="22" max="22" width="20" hidden="0" customWidth="1"/>
    <x:col min="23" max="23" width="12" hidden="0" customWidth="1"/>
    <x:col min="24" max="24" width="14" hidden="0" customWidth="1"/>
    <x:col min="25" max="25" width="12" hidden="0" customWidth="1"/>
  </x:cols>
  <x:sheetData>
    <x:row r="1" ht="30" customHeight="1">
      <x:c r="A1" s="4" t="str">
        <x:v>LAB1 Mini P2P Demonstration - P2P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</x:row>
    <x:row r="3">
      <x:c r="A3" s="10" t="str">
        <x:v>SEQ</x:v>
      </x:c>
      <x:c r="B3" s="10" t="str">
        <x:v>A Device</x:v>
      </x:c>
      <x:c r="C3" s="10" t="str">
        <x:v>A Room</x:v>
      </x:c>
      <x:c r="D3" s="10" t="str">
        <x:v>A Rack</x:v>
      </x:c>
      <x:c r="E3" s="10" t="str">
        <x:v>A RU</x:v>
      </x:c>
      <x:c r="F3" s="10" t="str">
        <x:v>A Port</x:v>
      </x:c>
      <x:c r="G3" s="10" t="str">
        <x:v>A Transceiver</x:v>
      </x:c>
      <x:c r="H3" s="25" t="str">
        <x:v>Z Device</x:v>
      </x:c>
      <x:c r="I3" s="25" t="str">
        <x:v>Z Room</x:v>
      </x:c>
      <x:c r="J3" s="25" t="str">
        <x:v>Z Rack</x:v>
      </x:c>
      <x:c r="K3" s="25" t="str">
        <x:v>Z RU</x:v>
      </x:c>
      <x:c r="L3" s="25" t="str">
        <x:v>Z Port</x:v>
      </x:c>
      <x:c r="M3" s="25" t="str">
        <x:v>Z Transceiver</x:v>
      </x:c>
      <x:c r="N3" s="30" t="str">
        <x:v>Cable Type</x:v>
      </x:c>
      <x:c r="O3" s="30" t="str">
        <x:v>Length (m)</x:v>
      </x:c>
      <x:c r="P3" s="30" t="str">
        <x:v>Remark</x:v>
      </x:c>
      <x:c r="Q3" s="30" t="str">
        <x:v>A-End Label</x:v>
      </x:c>
      <x:c r="R3" s="30" t="str">
        <x:v>Z-End Label</x:v>
      </x:c>
      <x:c r="S3" s="30" t="str">
        <x:v>Allocation Group</x:v>
      </x:c>
      <x:c r="T3" s="30" t="str">
        <x:v>Transceiver Rule</x:v>
      </x:c>
      <x:c r="U3" s="30" t="str">
        <x:v>A Module Group</x:v>
      </x:c>
      <x:c r="V3" s="30" t="str">
        <x:v>Z Module Group</x:v>
      </x:c>
      <x:c r="W3" s="30" t="str">
        <x:v>Route Score</x:v>
      </x:c>
      <x:c r="X3" s="30" t="str">
        <x:v>Raw Route (m)</x:v>
      </x:c>
      <x:c r="Y3" s="30" t="str">
        <x:v>QA Status</x:v>
      </x:c>
    </x:row>
    <x:row r="4">
      <x:c r="A4" s="13" t="n">
        <x:v>1</x:v>
      </x:c>
      <x:c r="B4" s="13" t="str">
        <x:v>LAB1-R01-DATA-SW-01</x:v>
      </x:c>
      <x:c r="C4" s="13" t="str">
        <x:v>LAB1</x:v>
      </x:c>
      <x:c r="D4" s="13" t="str">
        <x:v>R01</x:v>
      </x:c>
      <x:c r="E4" s="13" t="str">
        <x:v>U40</x:v>
      </x:c>
      <x:c r="F4" s="13" t="str">
        <x:v>1/1</x:v>
      </x:c>
      <x:c r="G4" s="13" t="str">
        <x:v>DEMO-OSFP</x:v>
      </x:c>
      <x:c r="H4" s="13" t="str">
        <x:v>LAB1-R02-SERVER-01</x:v>
      </x:c>
      <x:c r="I4" s="13" t="str">
        <x:v>LAB1</x:v>
      </x:c>
      <x:c r="J4" s="13" t="str">
        <x:v>R02</x:v>
      </x:c>
      <x:c r="K4" s="13" t="str">
        <x:v>U10</x:v>
      </x:c>
      <x:c r="L4" s="13" t="str">
        <x:v>NIC1</x:v>
      </x:c>
      <x:c r="M4" s="13" t="str">
        <x:v>DEMO-OSFP</x:v>
      </x:c>
      <x:c r="N4" s="13" t="str">
        <x:v>OPT-N015</x:v>
      </x:c>
      <x:c r="O4" s="15" t="n">
        <x:v>15</x:v>
      </x:c>
      <x:c r="P4" s="13" t="str">
        <x:v>Direct optical link</x:v>
      </x:c>
      <x:c r="Q4" s="13" t="str">
        <x:v>LAB1-R01-DATA-SW-01|1/1</x:v>
      </x:c>
      <x:c r="R4" s="13" t="str">
        <x:v>LAB1-R02-SERVER-01|NIC1</x:v>
      </x:c>
      <x:c r="S4" s="13" t="str">
        <x:v>DATA_SERVER</x:v>
      </x:c>
      <x:c r="T4" s="13" t="str">
        <x:v>both</x:v>
      </x:c>
      <x:c r="U4" s="13" t="str"/>
      <x:c r="V4" s="13" t="str"/>
      <x:c r="W4" s="14" t="n">
        <x:v>3</x:v>
      </x:c>
      <x:c r="X4" s="14" t="str"/>
      <x:c r="Y4" s="31" t="str">
        <x:f>IF(OR(B4="",F4="",H4="",L4="",N4="",O4=""),"ERROR","OK")</x:f>
        <x:v>OK</x:v>
      </x:c>
    </x:row>
    <x:row r="5">
      <x:c r="A5" s="13" t="n">
        <x:v>2</x:v>
      </x:c>
      <x:c r="B5" s="13" t="str">
        <x:v>LAB1-R01-DATA-SW-01</x:v>
      </x:c>
      <x:c r="C5" s="13" t="str">
        <x:v>LAB1</x:v>
      </x:c>
      <x:c r="D5" s="13" t="str">
        <x:v>R01</x:v>
      </x:c>
      <x:c r="E5" s="13" t="str">
        <x:v>U40</x:v>
      </x:c>
      <x:c r="F5" s="13" t="str">
        <x:v>1/2</x:v>
      </x:c>
      <x:c r="G5" s="13" t="str">
        <x:v>DEMO-OSFP</x:v>
      </x:c>
      <x:c r="H5" s="13" t="str">
        <x:v>LAB1-R04-SERVER-02</x:v>
      </x:c>
      <x:c r="I5" s="13" t="str">
        <x:v>LAB1</x:v>
      </x:c>
      <x:c r="J5" s="13" t="str">
        <x:v>R04</x:v>
      </x:c>
      <x:c r="K5" s="13" t="str">
        <x:v>U10</x:v>
      </x:c>
      <x:c r="L5" s="13" t="str">
        <x:v>NIC1</x:v>
      </x:c>
      <x:c r="M5" s="13" t="str">
        <x:v>DEMO-OSFP</x:v>
      </x:c>
      <x:c r="N5" s="13" t="str">
        <x:v>OPT-N020</x:v>
      </x:c>
      <x:c r="O5" s="15" t="n">
        <x:v>20</x:v>
      </x:c>
      <x:c r="P5" s="13" t="str">
        <x:v>Direct optical link</x:v>
      </x:c>
      <x:c r="Q5" s="13" t="str">
        <x:v>LAB1-R01-DATA-SW-01|1/2</x:v>
      </x:c>
      <x:c r="R5" s="13" t="str">
        <x:v>LAB1-R04-SERVER-02|NIC1</x:v>
      </x:c>
      <x:c r="S5" s="13" t="str">
        <x:v>DATA_SERVER</x:v>
      </x:c>
      <x:c r="T5" s="13" t="str">
        <x:v>both</x:v>
      </x:c>
      <x:c r="U5" s="13" t="str"/>
      <x:c r="V5" s="13" t="str"/>
      <x:c r="W5" s="14" t="n">
        <x:v>8</x:v>
      </x:c>
      <x:c r="X5" s="14" t="str"/>
      <x:c r="Y5" s="31" t="str">
        <x:f>IF(OR(B5="",F5="",H5="",L5="",N5="",O5=""),"ERROR","OK")</x:f>
        <x:v>OK</x:v>
      </x:c>
    </x:row>
    <x:row r="6">
      <x:c r="A6" s="13" t="n">
        <x:v>3</x:v>
      </x:c>
      <x:c r="B6" s="13" t="str">
        <x:v>LAB1-R06-STORAGE-SW-01</x:v>
      </x:c>
      <x:c r="C6" s="13" t="str">
        <x:v>LAB1</x:v>
      </x:c>
      <x:c r="D6" s="13" t="str">
        <x:v>R06</x:v>
      </x:c>
      <x:c r="E6" s="13" t="str">
        <x:v>U32</x:v>
      </x:c>
      <x:c r="F6" s="13" t="str">
        <x:v>33/1/1</x:v>
      </x:c>
      <x:c r="G6" s="13" t="str">
        <x:v>DEMO-2X400G</x:v>
      </x:c>
      <x:c r="H6" s="13" t="str">
        <x:v>LAB1-R07-STORAGE-01</x:v>
      </x:c>
      <x:c r="I6" s="13" t="str">
        <x:v>LAB1</x:v>
      </x:c>
      <x:c r="J6" s="13" t="str">
        <x:v>R07</x:v>
      </x:c>
      <x:c r="K6" s="13" t="str">
        <x:v>U8</x:v>
      </x:c>
      <x:c r="L6" s="13" t="str">
        <x:v>CTRL-A-LINK-1</x:v>
      </x:c>
      <x:c r="M6" s="13" t="str">
        <x:v>DEMO-400G</x:v>
      </x:c>
      <x:c r="N6" s="13" t="str">
        <x:v>BRK-N025</x:v>
      </x:c>
      <x:c r="O6" s="15" t="n">
        <x:v>25</x:v>
      </x:c>
      <x:c r="P6" s="13" t="str">
        <x:v>Breakout branch 1</x:v>
      </x:c>
      <x:c r="Q6" s="13" t="str">
        <x:v>LAB1-R06-STORAGE-SW-01|33/1/1</x:v>
      </x:c>
      <x:c r="R6" s="13" t="str">
        <x:v>LAB1-R07-STORAGE-01|CTRL-A-LINK-1</x:v>
      </x:c>
      <x:c r="S6" s="13" t="str">
        <x:v>STORAGE_BREAKOUT</x:v>
      </x:c>
      <x:c r="T6" s="13" t="str">
        <x:v>a-once-per-group</x:v>
      </x:c>
      <x:c r="U6" s="13" t="str">
        <x:v>STG-A-33-1</x:v>
      </x:c>
      <x:c r="V6" s="13" t="str"/>
      <x:c r="W6" s="14" t="n">
        <x:v>3</x:v>
      </x:c>
      <x:c r="X6" s="14" t="str"/>
      <x:c r="Y6" s="31" t="str">
        <x:f>IF(OR(B6="",F6="",H6="",L6="",N6="",O6=""),"ERROR","OK")</x:f>
        <x:v>OK</x:v>
      </x:c>
    </x:row>
    <x:row r="7">
      <x:c r="A7" s="13" t="n">
        <x:v>4</x:v>
      </x:c>
      <x:c r="B7" s="13" t="str">
        <x:v>LAB1-R06-STORAGE-SW-01</x:v>
      </x:c>
      <x:c r="C7" s="13" t="str">
        <x:v>LAB1</x:v>
      </x:c>
      <x:c r="D7" s="13" t="str">
        <x:v>R06</x:v>
      </x:c>
      <x:c r="E7" s="13" t="str">
        <x:v>U32</x:v>
      </x:c>
      <x:c r="F7" s="13" t="str">
        <x:v>33/1/2</x:v>
      </x:c>
      <x:c r="G7" s="13" t="str"/>
      <x:c r="H7" s="13" t="str">
        <x:v>LAB1-R07-STORAGE-01</x:v>
      </x:c>
      <x:c r="I7" s="13" t="str">
        <x:v>LAB1</x:v>
      </x:c>
      <x:c r="J7" s="13" t="str">
        <x:v>R07</x:v>
      </x:c>
      <x:c r="K7" s="13" t="str">
        <x:v>U8</x:v>
      </x:c>
      <x:c r="L7" s="13" t="str">
        <x:v>CTRL-B-LINK-1</x:v>
      </x:c>
      <x:c r="M7" s="13" t="str">
        <x:v>DEMO-400G</x:v>
      </x:c>
      <x:c r="N7" s="13" t="str">
        <x:v>BRK-N025</x:v>
      </x:c>
      <x:c r="O7" s="15" t="n">
        <x:v>25</x:v>
      </x:c>
      <x:c r="P7" s="13" t="str">
        <x:v>Breakout branch 2; A module recorded on branch 1</x:v>
      </x:c>
      <x:c r="Q7" s="13" t="str">
        <x:v>LAB1-R06-STORAGE-SW-01|33/1/2</x:v>
      </x:c>
      <x:c r="R7" s="13" t="str">
        <x:v>LAB1-R07-STORAGE-01|CTRL-B-LINK-1</x:v>
      </x:c>
      <x:c r="S7" s="13" t="str">
        <x:v>STORAGE_BREAKOUT</x:v>
      </x:c>
      <x:c r="T7" s="13" t="str">
        <x:v>a-once-per-group</x:v>
      </x:c>
      <x:c r="U7" s="13" t="str">
        <x:v>STG-A-33-1</x:v>
      </x:c>
      <x:c r="V7" s="13" t="str"/>
      <x:c r="W7" s="14" t="n">
        <x:v>4</x:v>
      </x:c>
      <x:c r="X7" s="14" t="str"/>
      <x:c r="Y7" s="31" t="str">
        <x:f>IF(OR(B7="",F7="",H7="",L7="",N7="",O7=""),"ERROR","OK")</x:f>
        <x:v>OK</x:v>
      </x:c>
    </x:row>
    <x:row r="8">
      <x:c r="A8" s="13" t="n">
        <x:v>5</x:v>
      </x:c>
      <x:c r="B8" s="13" t="str">
        <x:v>LAB1-R01-OOB-SW-01</x:v>
      </x:c>
      <x:c r="C8" s="13" t="str">
        <x:v>LAB1</x:v>
      </x:c>
      <x:c r="D8" s="13" t="str">
        <x:v>R01</x:v>
      </x:c>
      <x:c r="E8" s="13" t="str">
        <x:v>U45</x:v>
      </x:c>
      <x:c r="F8" s="13" t="str">
        <x:v>1</x:v>
      </x:c>
      <x:c r="G8" s="13" t="str"/>
      <x:c r="H8" s="13" t="str">
        <x:v>LAB1-R02-BMC-01</x:v>
      </x:c>
      <x:c r="I8" s="13" t="str">
        <x:v>LAB1</x:v>
      </x:c>
      <x:c r="J8" s="13" t="str">
        <x:v>R02</x:v>
      </x:c>
      <x:c r="K8" s="13" t="str">
        <x:v>U10</x:v>
      </x:c>
      <x:c r="L8" s="13" t="str">
        <x:v>MGMT</x:v>
      </x:c>
      <x:c r="M8" s="13" t="str"/>
      <x:c r="N8" s="13" t="str">
        <x:v>CAT6A-010</x:v>
      </x:c>
      <x:c r="O8" s="15" t="n">
        <x:v>10</x:v>
      </x:c>
      <x:c r="P8" s="13" t="str">
        <x:v>CAT6A management</x:v>
      </x:c>
      <x:c r="Q8" s="13" t="str">
        <x:v>LAB1-R01-OOB-SW-01|1</x:v>
      </x:c>
      <x:c r="R8" s="13" t="str">
        <x:v>LAB1-R02-BMC-01|MGMT</x:v>
      </x:c>
      <x:c r="S8" s="13" t="str">
        <x:v>OOB_ACCESS</x:v>
      </x:c>
      <x:c r="T8" s="13" t="str">
        <x:v>none</x:v>
      </x:c>
      <x:c r="U8" s="13" t="str"/>
      <x:c r="V8" s="13" t="str"/>
      <x:c r="W8" s="14" t="n">
        <x:v>3</x:v>
      </x:c>
      <x:c r="X8" s="14" t="str"/>
      <x:c r="Y8" s="31" t="str">
        <x:f>IF(OR(B8="",F8="",H8="",L8="",N8="",O8=""),"ERROR","OK")</x:f>
        <x:v>OK</x:v>
      </x:c>
    </x:row>
    <x:row r="9">
      <x:c r="A9" s="13" t="n">
        <x:v>6</x:v>
      </x:c>
      <x:c r="B9" s="13" t="str">
        <x:v>LAB1-R01-OOB-SW-01</x:v>
      </x:c>
      <x:c r="C9" s="13" t="str">
        <x:v>LAB1</x:v>
      </x:c>
      <x:c r="D9" s="13" t="str">
        <x:v>R01</x:v>
      </x:c>
      <x:c r="E9" s="13" t="str">
        <x:v>U45</x:v>
      </x:c>
      <x:c r="F9" s="13" t="str">
        <x:v>2</x:v>
      </x:c>
      <x:c r="G9" s="13" t="str"/>
      <x:c r="H9" s="13" t="str">
        <x:v>LAB1-R04-BMC-02</x:v>
      </x:c>
      <x:c r="I9" s="13" t="str">
        <x:v>LAB1</x:v>
      </x:c>
      <x:c r="J9" s="13" t="str">
        <x:v>R04</x:v>
      </x:c>
      <x:c r="K9" s="13" t="str">
        <x:v>U10</x:v>
      </x:c>
      <x:c r="L9" s="13" t="str">
        <x:v>MGMT</x:v>
      </x:c>
      <x:c r="M9" s="13" t="str"/>
      <x:c r="N9" s="13" t="str">
        <x:v>CAT6A-010</x:v>
      </x:c>
      <x:c r="O9" s="15" t="n">
        <x:v>10</x:v>
      </x:c>
      <x:c r="P9" s="13" t="str">
        <x:v>CAT6A management</x:v>
      </x:c>
      <x:c r="Q9" s="13" t="str">
        <x:v>LAB1-R01-OOB-SW-01|2</x:v>
      </x:c>
      <x:c r="R9" s="13" t="str">
        <x:v>LAB1-R04-BMC-02|MGMT</x:v>
      </x:c>
      <x:c r="S9" s="13" t="str">
        <x:v>OOB_ACCESS</x:v>
      </x:c>
      <x:c r="T9" s="13" t="str">
        <x:v>none</x:v>
      </x:c>
      <x:c r="U9" s="13" t="str"/>
      <x:c r="V9" s="13" t="str"/>
      <x:c r="W9" s="14" t="n">
        <x:v>8</x:v>
      </x:c>
      <x:c r="X9" s="14" t="str"/>
      <x:c r="Y9" s="31" t="str">
        <x:f>IF(OR(B9="",F9="",H9="",L9="",N9="",O9=""),"ERROR","OK")</x:f>
        <x:v>OK</x:v>
      </x:c>
    </x:row>
  </x:sheetData>
  <x:mergeCells>
    <x:mergeCell ref="A1:Y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76" hidden="0" customWidth="1"/>
    <x:col min="4" max="4" width="18" hidden="0" customWidth="1"/>
    <x:col min="5" max="5" width="24" hidden="0" customWidth="1"/>
    <x:col min="6" max="6" width="20" hidden="0" customWidth="1"/>
    <x:col min="7" max="7" width="24" hidden="0" customWidth="1"/>
  </x:cols>
  <x:sheetData>
    <x:row r="1" ht="30" customHeight="1">
      <x:c r="A1" s="4" t="str">
        <x:v>LAB1 Mini P2P Demonstration - QA</x:v>
      </x:c>
      <x:c r="B1" s="4"/>
      <x:c r="C1" s="4"/>
      <x:c r="D1" s="4"/>
      <x:c r="E1" s="4"/>
      <x:c r="F1" s="4"/>
      <x:c r="G1" s="4"/>
    </x:row>
    <x:row r="3">
      <x:c r="A3" s="10" t="str">
        <x:v>Metric</x:v>
      </x:c>
      <x:c r="B3" s="10" t="str">
        <x:v>Value</x:v>
      </x:c>
      <x:c r="C3" s="10" t="str">
        <x:v>Release Rule</x:v>
      </x:c>
    </x:row>
    <x:row r="4">
      <x:c r="A4" s="13" t="str">
        <x:v>P2P Rows</x:v>
      </x:c>
      <x:c r="B4" s="13" t="n">
        <x:v>6</x:v>
      </x:c>
      <x:c r="C4" s="13" t="str">
        <x:v>Must reconcile to BOM</x:v>
      </x:c>
    </x:row>
    <x:row r="5">
      <x:c r="A5" s="13" t="str">
        <x:v>BOM Planned</x:v>
      </x:c>
      <x:c r="B5" s="13" t="n">
        <x:v>6</x:v>
      </x:c>
      <x:c r="C5" s="13" t="str">
        <x:v>Must equal P2P Rows</x:v>
      </x:c>
    </x:row>
    <x:row r="6">
      <x:c r="A6" s="13" t="str">
        <x:v>Errors</x:v>
      </x:c>
      <x:c r="B6" s="13" t="n">
        <x:f>COUNTIF(A11:A11,"ERROR")</x:f>
        <x:v>0</x:v>
      </x:c>
      <x:c r="C6" s="13" t="str">
        <x:v>Must be 0</x:v>
      </x:c>
    </x:row>
    <x:row r="7">
      <x:c r="A7" s="13" t="str">
        <x:v>Warnings</x:v>
      </x:c>
      <x:c r="B7" s="13" t="n">
        <x:f>COUNTIF(A11:A11,"WARNING")</x:f>
        <x:v>0</x:v>
      </x:c>
      <x:c r="C7" s="13" t="str">
        <x:v>Review and approve</x:v>
      </x:c>
    </x:row>
    <x:row r="9">
      <x:c r="A9" s="25" t="str">
        <x:v>Severity</x:v>
      </x:c>
      <x:c r="B9" s="25" t="str">
        <x:v>Code</x:v>
      </x:c>
      <x:c r="C9" s="25" t="str">
        <x:v>Message</x:v>
      </x:c>
      <x:c r="D9" s="25" t="str">
        <x:v>Connection</x:v>
      </x:c>
      <x:c r="E9" s="25" t="str">
        <x:v>Allocation Group</x:v>
      </x:c>
      <x:c r="F9" s="25" t="str">
        <x:v>Equipment</x:v>
      </x:c>
      <x:c r="G9" s="25" t="str">
        <x:v>Disposition</x:v>
      </x:c>
    </x:row>
    <x:row r="11">
      <x:c r="A11" s="35" t="str">
        <x:v>No semantic findings. Visual QA is still required.</x:v>
      </x:c>
      <x:c r="B11" s="35"/>
      <x:c r="C11" s="35"/>
      <x:c r="D11" s="35"/>
      <x:c r="E11" s="35"/>
      <x:c r="F11" s="35"/>
      <x:c r="G11" s="35"/>
    </x:row>
  </x:sheetData>
  <x:mergeCells>
    <x:mergeCell ref="A1:G1"/>
    <x:mergeCell ref="A11:G11"/>
  </x:mergeCells>
  <x:pageMargins left="0.7" right="0.7" top="0.75" bottom="0.75" header="0.3" footer="0.3"/>
</x:worksheet>
</file>